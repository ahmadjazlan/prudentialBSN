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3a5825c6b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447be2f8cda14630"/>
    <x:sheet xmlns:r="http://schemas.openxmlformats.org/officeDocument/2006/relationships" name="Forecast_Data" sheetId="2" r:id="R97ce692845f644bf"/>
    <x:sheet xmlns:r="http://schemas.openxmlformats.org/officeDocument/2006/relationships" name="Trainer_Answer_Key" sheetId="3" r:id="Raee9b4855c264b3e"/>
    <x:sheet xmlns:r="http://schemas.openxmlformats.org/officeDocument/2006/relationships" name="Forecast_Evaluation" sheetId="4" r:id="R25c7565e167a439c"/>
    <x:sheet xmlns:r="http://schemas.openxmlformats.org/officeDocument/2006/relationships" name="Copilot_Prompts" sheetId="5" r:id="Rd1f8ef6ea17846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fd30f517e47d4" /><Relationship Type="http://schemas.openxmlformats.org/officeDocument/2006/relationships/theme" Target="/xl/theme/theme1.xml" Id="Rf63af07907104080" /><Relationship Type="http://schemas.openxmlformats.org/officeDocument/2006/relationships/sharedStrings" Target="/xl/sharedStrings.xml" Id="R377ea1b4fdad44ec" /><Relationship Type="http://schemas.openxmlformats.org/officeDocument/2006/relationships/worksheet" Target="/xl/worksheets/sheet1.xml" Id="R447be2f8cda14630" /><Relationship Type="http://schemas.openxmlformats.org/officeDocument/2006/relationships/worksheet" Target="/xl/worksheets/sheet2.xml" Id="R97ce692845f644bf" /><Relationship Type="http://schemas.openxmlformats.org/officeDocument/2006/relationships/worksheet" Target="/xl/worksheets/sheet3.xml" Id="Raee9b4855c264b3e" /><Relationship Type="http://schemas.openxmlformats.org/officeDocument/2006/relationships/worksheet" Target="/xl/worksheets/sheet4.xml" Id="R25c7565e167a439c" /><Relationship Type="http://schemas.openxmlformats.org/officeDocument/2006/relationships/worksheet" Target="/xl/worksheets/sheet5.xml" Id="Rd1f8ef6ea178460d" /></Relationships>
</file>

<file path=xl/tables/table1.xml><?xml version="1.0" encoding="utf-8"?>
<x:table xmlns:x="http://schemas.openxmlformats.org/spreadsheetml/2006/main" id="1" name="MonthlyApplications" displayName="MonthlyApplications" ref="A1:E31" headerRowCount="1" totalsRowCount="0" totalsRowShown="0">
  <x:tableColumns count="5">
    <x:tableColumn id="1" name="Month"/>
    <x:tableColumn id="2" name="Applications"/>
    <x:tableColumn id="3" name="Approved"/>
    <x:tableColumn id="4" name="Approval_Rate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0f31e571fe4945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5" hidden="0" customWidth="1"/>
  </x:cols>
  <x:sheetData>
    <x:row r="1" ht="27" customHeight="1">
      <x:c r="A1" s="3" t="str">
        <x:v>FORECASTING LAB</x:v>
      </x:c>
      <x:c r="B1" s="3" t="str">
        <x:v>TRAINER / PARTICIPANT INSTRUCTIONS</x:v>
      </x:c>
    </x:row>
    <x:row r="2">
      <x:c r="A2" t="str">
        <x:v>Scenario</x:v>
      </x:c>
      <x:c r="B2" t="str">
        <x:v>Synthetic monthly takaful application volumes, January 2023 to December 2025.</x:v>
      </x:c>
    </x:row>
    <x:row r="3">
      <x:c r="A3" t="str">
        <x:v>Training data</x:v>
      </x:c>
      <x:c r="B3" t="str">
        <x:v>Forecast_Data has 30 months of visible history, January 2023 to June 2025.</x:v>
      </x:c>
    </x:row>
    <x:row r="4">
      <x:c r="A4" t="str">
        <x:v>Challenge</x:v>
      </x:c>
      <x:c r="B4" t="str">
        <x:v>Predict July to December 2025, then compare with hidden actual values.</x:v>
      </x:c>
    </x:row>
    <x:row r="5">
      <x:c r="A5" t="str">
        <x:v>Method A</x:v>
      </x:c>
      <x:c r="B5" t="str">
        <x:v>Select Date and Applications in Forecast_Data → Data → Forecast Sheet → choose December 2025.</x:v>
      </x:c>
    </x:row>
    <x:row r="6">
      <x:c r="A6" t="str">
        <x:v>Method B</x:v>
      </x:c>
      <x:c r="B6" t="str">
        <x:v>Use FORECAST.ETS for each forecast month, or ask Copilot to suggest a method.</x:v>
      </x:c>
    </x:row>
    <x:row r="7">
      <x:c r="A7" t="str">
        <x:v>Evaluation</x:v>
      </x:c>
      <x:c r="B7" t="str">
        <x:v>Enter your six forecasts in Forecast_Evaluation, column B.</x:v>
      </x:c>
    </x:row>
    <x:row r="8">
      <x:c r="A8" t="str">
        <x:v>Reveal</x:v>
      </x:c>
      <x:c r="B8" t="str">
        <x:v>Trainer_Answer_Key contains the actual July–December 2025 values. Keep it hidden until the debrief.</x:v>
      </x:c>
    </x:row>
    <x:row r="9">
      <x:c r="A9" t="str">
        <x:v>Metric</x:v>
      </x:c>
      <x:c r="B9" t="str">
        <x:v>MAE = average absolute error; MAPE = average absolute percentage error.</x:v>
      </x:c>
    </x:row>
    <x:row r="10">
      <x:c r="A10" t="str">
        <x:v>Copilot</x:v>
      </x:c>
      <x:c r="B10" t="str">
        <x:v>Prompts in Copilot_Prompts; check all AI output against Excel.</x:v>
      </x:c>
    </x:row>
    <x:row r="11">
      <x:c r="A11" t="str">
        <x:v>Interpretation</x:v>
      </x:c>
      <x:c r="B11" t="str">
        <x:v>Includes trend, seasonal variation and one campaign-related uplift; not real Prudential BSN data.</x:v>
      </x:c>
    </x:row>
    <x:row r="12">
      <x:c r="A12" t="str">
        <x:v>Privacy</x:v>
      </x:c>
      <x:c r="B12" t="str">
        <x:v>All records are fictional; use only approved corporate Microsoft 365 workflows.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2" hidden="0" customWidth="1"/>
    <x:col min="5" max="5" width="47" hidden="0" customWidth="1"/>
  </x:cols>
  <x:sheetData>
    <x:row r="1" ht="27" customHeight="1">
      <x:c r="A1" s="3" t="str">
        <x:v>Month</x:v>
      </x:c>
      <x:c r="B1" s="3" t="str">
        <x:v>Applications</x:v>
      </x:c>
      <x:c r="C1" s="3" t="str">
        <x:v>Approved</x:v>
      </x:c>
      <x:c r="D1" s="3" t="str">
        <x:v>Approval_Rate</x:v>
      </x:c>
      <x:c r="E1" s="3" t="str">
        <x:v>Notes</x:v>
      </x:c>
    </x:row>
    <x:row r="2">
      <x:c r="A2" s="6" t="n">
        <x:v>44927</x:v>
      </x:c>
      <x:c r="B2" t="n">
        <x:v>188</x:v>
      </x:c>
      <x:c r="C2" t="n">
        <x:v>138</x:v>
      </x:c>
      <x:c r="D2" s="8" t="n">
        <x:v>0.7340425531914894</x:v>
      </x:c>
      <x:c r="E2" t="str"/>
    </x:row>
    <x:row r="3">
      <x:c r="A3" s="6" t="n">
        <x:v>44958</x:v>
      </x:c>
      <x:c r="B3" t="n">
        <x:v>201</x:v>
      </x:c>
      <x:c r="C3" t="n">
        <x:v>152</x:v>
      </x:c>
      <x:c r="D3" s="8" t="n">
        <x:v>0.7562189054726368</x:v>
      </x:c>
      <x:c r="E3" t="str"/>
    </x:row>
    <x:row r="4">
      <x:c r="A4" s="6" t="n">
        <x:v>44986</x:v>
      </x:c>
      <x:c r="B4" t="n">
        <x:v>210</x:v>
      </x:c>
      <x:c r="C4" t="n">
        <x:v>160</x:v>
      </x:c>
      <x:c r="D4" s="8" t="n">
        <x:v>0.7619047619047619</x:v>
      </x:c>
      <x:c r="E4" t="str"/>
    </x:row>
    <x:row r="5">
      <x:c r="A5" s="6" t="n">
        <x:v>45017</x:v>
      </x:c>
      <x:c r="B5" t="n">
        <x:v>210</x:v>
      </x:c>
      <x:c r="C5" t="n">
        <x:v>155</x:v>
      </x:c>
      <x:c r="D5" s="8" t="n">
        <x:v>0.7380952380952381</x:v>
      </x:c>
      <x:c r="E5" t="str"/>
    </x:row>
    <x:row r="6">
      <x:c r="A6" s="6" t="n">
        <x:v>45047</x:v>
      </x:c>
      <x:c r="B6" t="n">
        <x:v>228</x:v>
      </x:c>
      <x:c r="C6" t="n">
        <x:v>176</x:v>
      </x:c>
      <x:c r="D6" s="8" t="n">
        <x:v>0.7719298245614035</x:v>
      </x:c>
      <x:c r="E6" t="str"/>
    </x:row>
    <x:row r="7">
      <x:c r="A7" s="6" t="n">
        <x:v>45078</x:v>
      </x:c>
      <x:c r="B7" t="n">
        <x:v>235</x:v>
      </x:c>
      <x:c r="C7" t="n">
        <x:v>175</x:v>
      </x:c>
      <x:c r="D7" s="8" t="n">
        <x:v>0.7446808510638298</x:v>
      </x:c>
      <x:c r="E7" t="str"/>
    </x:row>
    <x:row r="8">
      <x:c r="A8" s="6" t="n">
        <x:v>45108</x:v>
      </x:c>
      <x:c r="B8" t="n">
        <x:v>218</x:v>
      </x:c>
      <x:c r="C8" t="n">
        <x:v>164</x:v>
      </x:c>
      <x:c r="D8" s="8" t="n">
        <x:v>0.7522935779816514</x:v>
      </x:c>
      <x:c r="E8" t="str"/>
    </x:row>
    <x:row r="9">
      <x:c r="A9" s="6" t="n">
        <x:v>45139</x:v>
      </x:c>
      <x:c r="B9" t="n">
        <x:v>236</x:v>
      </x:c>
      <x:c r="C9" t="n">
        <x:v>174</x:v>
      </x:c>
      <x:c r="D9" s="8" t="n">
        <x:v>0.7372881355932204</x:v>
      </x:c>
      <x:c r="E9" t="str"/>
    </x:row>
    <x:row r="10">
      <x:c r="A10" s="6" t="n">
        <x:v>45170</x:v>
      </x:c>
      <x:c r="B10" t="n">
        <x:v>246</x:v>
      </x:c>
      <x:c r="C10" t="n">
        <x:v>182</x:v>
      </x:c>
      <x:c r="D10" s="8" t="n">
        <x:v>0.7398373983739838</x:v>
      </x:c>
      <x:c r="E10" t="str"/>
    </x:row>
    <x:row r="11">
      <x:c r="A11" s="6" t="n">
        <x:v>45200</x:v>
      </x:c>
      <x:c r="B11" t="n">
        <x:v>260</x:v>
      </x:c>
      <x:c r="C11" t="n">
        <x:v>199</x:v>
      </x:c>
      <x:c r="D11" s="8" t="n">
        <x:v>0.7653846153846153</x:v>
      </x:c>
      <x:c r="E11" t="str"/>
    </x:row>
    <x:row r="12">
      <x:c r="A12" s="6" t="n">
        <x:v>45231</x:v>
      </x:c>
      <x:c r="B12" t="n">
        <x:v>254</x:v>
      </x:c>
      <x:c r="C12" t="n">
        <x:v>188</x:v>
      </x:c>
      <x:c r="D12" s="8" t="n">
        <x:v>0.7401574803149606</x:v>
      </x:c>
      <x:c r="E12" t="str"/>
    </x:row>
    <x:row r="13">
      <x:c r="A13" s="6" t="n">
        <x:v>45261</x:v>
      </x:c>
      <x:c r="B13" t="n">
        <x:v>265</x:v>
      </x:c>
      <x:c r="C13" t="n">
        <x:v>193</x:v>
      </x:c>
      <x:c r="D13" s="8" t="n">
        <x:v>0.7283018867924528</x:v>
      </x:c>
      <x:c r="E13" t="str"/>
    </x:row>
    <x:row r="14">
      <x:c r="A14" s="6" t="n">
        <x:v>45292</x:v>
      </x:c>
      <x:c r="B14" t="n">
        <x:v>232</x:v>
      </x:c>
      <x:c r="C14" t="n">
        <x:v>175</x:v>
      </x:c>
      <x:c r="D14" s="8" t="n">
        <x:v>0.7543103448275862</x:v>
      </x:c>
      <x:c r="E14" t="str"/>
    </x:row>
    <x:row r="15">
      <x:c r="A15" s="6" t="n">
        <x:v>45323</x:v>
      </x:c>
      <x:c r="B15" t="n">
        <x:v>226</x:v>
      </x:c>
      <x:c r="C15" t="n">
        <x:v>167</x:v>
      </x:c>
      <x:c r="D15" s="8" t="n">
        <x:v>0.7389380530973452</x:v>
      </x:c>
      <x:c r="E15" t="str"/>
    </x:row>
    <x:row r="16">
      <x:c r="A16" s="6" t="n">
        <x:v>45352</x:v>
      </x:c>
      <x:c r="B16" t="n">
        <x:v>252</x:v>
      </x:c>
      <x:c r="C16" t="n">
        <x:v>183</x:v>
      </x:c>
      <x:c r="D16" s="8" t="n">
        <x:v>0.7261904761904762</x:v>
      </x:c>
      <x:c r="E16" t="str"/>
    </x:row>
    <x:row r="17">
      <x:c r="A17" s="6" t="n">
        <x:v>45383</x:v>
      </x:c>
      <x:c r="B17" t="n">
        <x:v>267</x:v>
      </x:c>
      <x:c r="C17" t="n">
        <x:v>188</x:v>
      </x:c>
      <x:c r="D17" s="8" t="n">
        <x:v>0.704119850187266</x:v>
      </x:c>
      <x:c r="E17" t="str"/>
    </x:row>
    <x:row r="18">
      <x:c r="A18" s="6" t="n">
        <x:v>45413</x:v>
      </x:c>
      <x:c r="B18" t="n">
        <x:v>262</x:v>
      </x:c>
      <x:c r="C18" t="n">
        <x:v>191</x:v>
      </x:c>
      <x:c r="D18" s="8" t="n">
        <x:v>0.7290076335877863</x:v>
      </x:c>
      <x:c r="E18" t="str"/>
    </x:row>
    <x:row r="19">
      <x:c r="A19" s="6" t="n">
        <x:v>45444</x:v>
      </x:c>
      <x:c r="B19" t="n">
        <x:v>256</x:v>
      </x:c>
      <x:c r="C19" t="n">
        <x:v>183</x:v>
      </x:c>
      <x:c r="D19" s="8" t="n">
        <x:v>0.71484375</x:v>
      </x:c>
      <x:c r="E19" t="str"/>
    </x:row>
    <x:row r="20">
      <x:c r="A20" s="6" t="n">
        <x:v>45474</x:v>
      </x:c>
      <x:c r="B20" t="n">
        <x:v>260</x:v>
      </x:c>
      <x:c r="C20" t="n">
        <x:v>180</x:v>
      </x:c>
      <x:c r="D20" s="8" t="n">
        <x:v>0.6923076923076923</x:v>
      </x:c>
      <x:c r="E20" t="str"/>
    </x:row>
    <x:row r="21">
      <x:c r="A21" s="6" t="n">
        <x:v>45505</x:v>
      </x:c>
      <x:c r="B21" t="n">
        <x:v>282</x:v>
      </x:c>
      <x:c r="C21" t="n">
        <x:v>202</x:v>
      </x:c>
      <x:c r="D21" s="8" t="n">
        <x:v>0.7163120567375887</x:v>
      </x:c>
      <x:c r="E21" t="str"/>
    </x:row>
    <x:row r="22">
      <x:c r="A22" s="6" t="n">
        <x:v>45536</x:v>
      </x:c>
      <x:c r="B22" t="n">
        <x:v>334</x:v>
      </x:c>
      <x:c r="C22" t="n">
        <x:v>246</x:v>
      </x:c>
      <x:c r="D22" s="8" t="n">
        <x:v>0.7365269461077845</x:v>
      </x:c>
      <x:c r="E22" t="str">
        <x:v>Marketing campaign uplift (illustrative)</x:v>
      </x:c>
    </x:row>
    <x:row r="23">
      <x:c r="A23" s="6" t="n">
        <x:v>45566</x:v>
      </x:c>
      <x:c r="B23" t="n">
        <x:v>308</x:v>
      </x:c>
      <x:c r="C23" t="n">
        <x:v>213</x:v>
      </x:c>
      <x:c r="D23" s="8" t="n">
        <x:v>0.6915584415584416</x:v>
      </x:c>
      <x:c r="E23" t="str">
        <x:v>Marketing campaign uplift (illustrative)</x:v>
      </x:c>
    </x:row>
    <x:row r="24">
      <x:c r="A24" s="6" t="n">
        <x:v>45597</x:v>
      </x:c>
      <x:c r="B24" t="n">
        <x:v>288</x:v>
      </x:c>
      <x:c r="C24" t="n">
        <x:v>214</x:v>
      </x:c>
      <x:c r="D24" s="8" t="n">
        <x:v>0.7430555555555556</x:v>
      </x:c>
      <x:c r="E24" t="str"/>
    </x:row>
    <x:row r="25">
      <x:c r="A25" s="6" t="n">
        <x:v>45627</x:v>
      </x:c>
      <x:c r="B25" t="n">
        <x:v>314</x:v>
      </x:c>
      <x:c r="C25" t="n">
        <x:v>233</x:v>
      </x:c>
      <x:c r="D25" s="8" t="n">
        <x:v>0.7420382165605095</x:v>
      </x:c>
      <x:c r="E25" t="str"/>
    </x:row>
    <x:row r="26">
      <x:c r="A26" s="6" t="n">
        <x:v>45658</x:v>
      </x:c>
      <x:c r="B26" t="n">
        <x:v>272</x:v>
      </x:c>
      <x:c r="C26" t="n">
        <x:v>195</x:v>
      </x:c>
      <x:c r="D26" s="8" t="n">
        <x:v>0.7169117647058824</x:v>
      </x:c>
      <x:c r="E26" t="str"/>
    </x:row>
    <x:row r="27">
      <x:c r="A27" s="6" t="n">
        <x:v>45689</x:v>
      </x:c>
      <x:c r="B27" t="n">
        <x:v>263</x:v>
      </x:c>
      <x:c r="C27" t="n">
        <x:v>196</x:v>
      </x:c>
      <x:c r="D27" s="8" t="n">
        <x:v>0.7452471482889734</x:v>
      </x:c>
      <x:c r="E27" t="str"/>
    </x:row>
    <x:row r="28">
      <x:c r="A28" s="6" t="n">
        <x:v>45717</x:v>
      </x:c>
      <x:c r="B28" t="n">
        <x:v>294</x:v>
      </x:c>
      <x:c r="C28" t="n">
        <x:v>219</x:v>
      </x:c>
      <x:c r="D28" s="8" t="n">
        <x:v>0.7448979591836735</x:v>
      </x:c>
      <x:c r="E28" t="str"/>
    </x:row>
    <x:row r="29">
      <x:c r="A29" s="6" t="n">
        <x:v>45748</x:v>
      </x:c>
      <x:c r="B29" t="n">
        <x:v>307</x:v>
      </x:c>
      <x:c r="C29" t="n">
        <x:v>223</x:v>
      </x:c>
      <x:c r="D29" s="8" t="n">
        <x:v>0.7263843648208469</x:v>
      </x:c>
      <x:c r="E29" t="str"/>
    </x:row>
    <x:row r="30">
      <x:c r="A30" s="6" t="n">
        <x:v>45778</x:v>
      </x:c>
      <x:c r="B30" t="n">
        <x:v>322</x:v>
      </x:c>
      <x:c r="C30" t="n">
        <x:v>235</x:v>
      </x:c>
      <x:c r="D30" s="8" t="n">
        <x:v>0.7298136645962733</x:v>
      </x:c>
      <x:c r="E30" t="str"/>
    </x:row>
    <x:row r="31">
      <x:c r="A31" s="6" t="n">
        <x:v>45809</x:v>
      </x:c>
      <x:c r="B31" t="n">
        <x:v>313</x:v>
      </x:c>
      <x:c r="C31" t="n">
        <x:v>243</x:v>
      </x:c>
      <x:c r="D31" s="8" t="n">
        <x:v>0.7763578274760383</x:v>
      </x:c>
      <x:c r="E31" t="str"/>
    </x:row>
  </x:sheetData>
  <x:pageMargins left="0.7" right="0.7" top="0.75" bottom="0.75" header="0.3" footer="0.3"/>
  <x:tableParts count="1">
    <x:tablePart xmlns:r="http://schemas.openxmlformats.org/officeDocument/2006/relationships" r:id="Rb80f31e571fe49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23" hidden="0" customWidth="1"/>
    <x:col min="4" max="4" width="20" hidden="0" customWidth="1"/>
    <x:col min="5" max="5" width="58" hidden="0" customWidth="1"/>
  </x:cols>
  <x:sheetData>
    <x:row r="1" ht="27" customHeight="1">
      <x:c r="A1" s="3" t="str">
        <x:v>Month</x:v>
      </x:c>
      <x:c r="B1" s="3" t="str">
        <x:v>Actual_Applications</x:v>
      </x:c>
      <x:c r="C1" s="3" t="str">
        <x:v>Actual_Approved</x:v>
      </x:c>
      <x:c r="D1" s="3" t="str">
        <x:v>Approval_Rate</x:v>
      </x:c>
      <x:c r="E1" s="3" t="str">
        <x:v>Trainer_Note</x:v>
      </x:c>
    </x:row>
    <x:row r="2">
      <x:c r="A2" s="6" t="n">
        <x:v>45839</x:v>
      </x:c>
      <x:c r="B2" t="n">
        <x:v>300</x:v>
      </x:c>
      <x:c r="C2" t="n">
        <x:v>221</x:v>
      </x:c>
      <x:c r="D2" s="8" t="n">
        <x:v>0.7366666666666667</x:v>
      </x:c>
      <x:c r="E2" t="str">
        <x:v>Reveal only after participants submit forecasts</x:v>
      </x:c>
    </x:row>
    <x:row r="3">
      <x:c r="A3" s="6" t="n">
        <x:v>45870</x:v>
      </x:c>
      <x:c r="B3" t="n">
        <x:v>324</x:v>
      </x:c>
      <x:c r="C3" t="n">
        <x:v>239</x:v>
      </x:c>
      <x:c r="D3" s="8" t="n">
        <x:v>0.7376543209876543</x:v>
      </x:c>
      <x:c r="E3" t="str">
        <x:v>Reveal only after participants submit forecasts</x:v>
      </x:c>
    </x:row>
    <x:row r="4">
      <x:c r="A4" s="6" t="n">
        <x:v>45901</x:v>
      </x:c>
      <x:c r="B4" t="n">
        <x:v>318</x:v>
      </x:c>
      <x:c r="C4" t="n">
        <x:v>236</x:v>
      </x:c>
      <x:c r="D4" s="8" t="n">
        <x:v>0.7421383647798742</x:v>
      </x:c>
      <x:c r="E4" t="str">
        <x:v>Reveal only after participants submit forecasts</x:v>
      </x:c>
    </x:row>
    <x:row r="5">
      <x:c r="A5" s="6" t="n">
        <x:v>45931</x:v>
      </x:c>
      <x:c r="B5" t="n">
        <x:v>334</x:v>
      </x:c>
      <x:c r="C5" t="n">
        <x:v>249</x:v>
      </x:c>
      <x:c r="D5" s="8" t="n">
        <x:v>0.7455089820359282</x:v>
      </x:c>
      <x:c r="E5" t="str">
        <x:v>Reveal only after participants submit forecasts</x:v>
      </x:c>
    </x:row>
    <x:row r="6">
      <x:c r="A6" s="6" t="n">
        <x:v>45962</x:v>
      </x:c>
      <x:c r="B6" t="n">
        <x:v>332</x:v>
      </x:c>
      <x:c r="C6" t="n">
        <x:v>242</x:v>
      </x:c>
      <x:c r="D6" s="8" t="n">
        <x:v>0.7289156626506024</x:v>
      </x:c>
      <x:c r="E6" t="str">
        <x:v>Reveal only after participants submit forecasts</x:v>
      </x:c>
    </x:row>
    <x:row r="7">
      <x:c r="A7" s="6" t="n">
        <x:v>45992</x:v>
      </x:c>
      <x:c r="B7" t="n">
        <x:v>340</x:v>
      </x:c>
      <x:c r="C7" t="n">
        <x:v>256</x:v>
      </x:c>
      <x:c r="D7" s="8" t="n">
        <x:v>0.7529411764705882</x:v>
      </x:c>
      <x:c r="E7" t="str">
        <x:v>Reveal only after participants submit forecasts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0" hidden="0" customWidth="1"/>
    <x:col min="3" max="3" width="25" hidden="0" customWidth="1"/>
    <x:col min="4" max="4" width="20" hidden="0" customWidth="1"/>
    <x:col min="5" max="5" width="28" hidden="0" customWidth="1"/>
    <x:col min="6" max="6" width="25" hidden="0" customWidth="1"/>
  </x:cols>
  <x:sheetData>
    <x:row r="1" ht="27" customHeight="1">
      <x:c r="A1" s="3" t="str">
        <x:v>Forecast_Month</x:v>
      </x:c>
      <x:c r="B1" s="3" t="str">
        <x:v>Your_Forecast</x:v>
      </x:c>
      <x:c r="C1" s="3" t="str">
        <x:v>Actual_After_Reveal</x:v>
      </x:c>
      <x:c r="D1" s="3" t="str">
        <x:v>Absolute_Error</x:v>
      </x:c>
      <x:c r="E1" s="3" t="str">
        <x:v>Absolute_Percent_Error</x:v>
      </x:c>
      <x:c r="F1" s="3" t="str">
        <x:v>ETS_Formula_Example</x:v>
      </x:c>
    </x:row>
    <x:row r="2">
      <x:c r="A2" s="6" t="n">
        <x:v>45839</x:v>
      </x:c>
      <x:c r="B2" s="10"/>
      <x:c r="C2" t="n">
        <x:f>Trainer_Answer_Key!B2</x:f>
        <x:v>300</x:v>
      </x:c>
      <x:c r="D2" t="str">
        <x:f>IF(B2="","",ABS(B2-C2))</x:f>
      </x:c>
      <x:c r="E2" s="8" t="str">
        <x:f>IF(OR(B2="",C2=0),"",D2/C2)</x:f>
      </x:c>
      <x:c r="F2" t="e">
        <x:f>_xlfn.FORECAST.ETS(A2,Forecast_Data!$B$2:$B$31,Forecast_Data!$A$2:$A$31,12,1,1)</x:f>
        <x:v>#NAME?</x:v>
      </x:c>
    </x:row>
    <x:row r="3">
      <x:c r="A3" s="6" t="n">
        <x:v>45870</x:v>
      </x:c>
      <x:c r="B3" s="10"/>
      <x:c r="C3" t="n">
        <x:f>Trainer_Answer_Key!B3</x:f>
        <x:v>324</x:v>
      </x:c>
      <x:c r="D3" t="str">
        <x:f>IF(B3="","",ABS(B3-C3))</x:f>
      </x:c>
      <x:c r="E3" s="8" t="str">
        <x:f>IF(OR(B3="",C3=0),"",D3/C3)</x:f>
      </x:c>
      <x:c r="F3" t="e">
        <x:f>_xlfn.FORECAST.ETS(A3,Forecast_Data!$B$2:$B$31,Forecast_Data!$A$2:$A$31,12,1,1)</x:f>
        <x:v>#NAME?</x:v>
      </x:c>
    </x:row>
    <x:row r="4">
      <x:c r="A4" s="6" t="n">
        <x:v>45901</x:v>
      </x:c>
      <x:c r="B4" s="10"/>
      <x:c r="C4" t="n">
        <x:f>Trainer_Answer_Key!B4</x:f>
        <x:v>318</x:v>
      </x:c>
      <x:c r="D4" t="str">
        <x:f>IF(B4="","",ABS(B4-C4))</x:f>
      </x:c>
      <x:c r="E4" s="8" t="str">
        <x:f>IF(OR(B4="",C4=0),"",D4/C4)</x:f>
      </x:c>
      <x:c r="F4" t="e">
        <x:f>_xlfn.FORECAST.ETS(A4,Forecast_Data!$B$2:$B$31,Forecast_Data!$A$2:$A$31,12,1,1)</x:f>
        <x:v>#NAME?</x:v>
      </x:c>
    </x:row>
    <x:row r="5">
      <x:c r="A5" s="6" t="n">
        <x:v>45931</x:v>
      </x:c>
      <x:c r="B5" s="10"/>
      <x:c r="C5" t="n">
        <x:f>Trainer_Answer_Key!B5</x:f>
        <x:v>334</x:v>
      </x:c>
      <x:c r="D5" t="str">
        <x:f>IF(B5="","",ABS(B5-C5))</x:f>
      </x:c>
      <x:c r="E5" s="8" t="str">
        <x:f>IF(OR(B5="",C5=0),"",D5/C5)</x:f>
      </x:c>
      <x:c r="F5" t="e">
        <x:f>_xlfn.FORECAST.ETS(A5,Forecast_Data!$B$2:$B$31,Forecast_Data!$A$2:$A$31,12,1,1)</x:f>
        <x:v>#NAME?</x:v>
      </x:c>
    </x:row>
    <x:row r="6">
      <x:c r="A6" s="6" t="n">
        <x:v>45962</x:v>
      </x:c>
      <x:c r="B6" s="10"/>
      <x:c r="C6" t="n">
        <x:f>Trainer_Answer_Key!B6</x:f>
        <x:v>332</x:v>
      </x:c>
      <x:c r="D6" t="str">
        <x:f>IF(B6="","",ABS(B6-C6))</x:f>
      </x:c>
      <x:c r="E6" s="8" t="str">
        <x:f>IF(OR(B6="",C6=0),"",D6/C6)</x:f>
      </x:c>
      <x:c r="F6" t="e">
        <x:f>_xlfn.FORECAST.ETS(A6,Forecast_Data!$B$2:$B$31,Forecast_Data!$A$2:$A$31,12,1,1)</x:f>
        <x:v>#NAME?</x:v>
      </x:c>
    </x:row>
    <x:row r="7">
      <x:c r="A7" s="6" t="n">
        <x:v>45992</x:v>
      </x:c>
      <x:c r="B7" s="10"/>
      <x:c r="C7" t="n">
        <x:f>Trainer_Answer_Key!B7</x:f>
        <x:v>340</x:v>
      </x:c>
      <x:c r="D7" t="str">
        <x:f>IF(B7="","",ABS(B7-C7))</x:f>
      </x:c>
      <x:c r="E7" s="8" t="str">
        <x:f>IF(OR(B7="",C7=0),"",D7/C7)</x:f>
      </x:c>
      <x:c r="F7" t="e">
        <x:f>_xlfn.FORECAST.ETS(A7,Forecast_Data!$B$2:$B$31,Forecast_Data!$A$2:$A$31,12,1,1)</x:f>
        <x:v>#NAME?</x:v>
      </x:c>
    </x:row>
    <x:row r="8">
      <x:c r="E8" s="8"/>
    </x:row>
    <x:row r="9">
      <x:c r="E9" s="8"/>
    </x:row>
    <x:row r="10">
      <x:c r="A10" t="str">
        <x:v>RESULT</x:v>
      </x:c>
      <x:c r="B10" t="str">
        <x:v>FORMULA</x:v>
      </x:c>
    </x:row>
    <x:row r="11">
      <x:c r="A11" t="str">
        <x:v>MAE</x:v>
      </x:c>
      <x:c r="B11" t="str">
        <x:f>IF(COUNT(B2:B7)&lt;6,"Enter all six forecasts",AVERAGE(D2:D7))</x:f>
        <x:v>Enter all six forecasts</x:v>
      </x:c>
    </x:row>
    <x:row r="12">
      <x:c r="A12" t="str">
        <x:v>MAPE</x:v>
      </x:c>
      <x:c r="B12" s="8" t="str">
        <x:f>IF(COUNT(B2:B7)&lt;6,"Enter all six forecasts",AVERAGE(E2:E7))</x:f>
        <x:v>Enter all six forecasts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5" hidden="0" customWidth="1"/>
    <x:col min="3" max="3" width="65" hidden="0" customWidth="1"/>
  </x:cols>
  <x:sheetData>
    <x:row r="1" ht="27" customHeight="1">
      <x:c r="A1" s="3" t="str">
        <x:v>TASK</x:v>
      </x:c>
      <x:c r="B1" s="3" t="str">
        <x:v>COPILOT PROMPT</x:v>
      </x:c>
      <x:c r="C1" s="3" t="str">
        <x:v>VERIFY</x:v>
      </x:c>
    </x:row>
    <x:row r="2">
      <x:c r="A2" t="str">
        <x:v>Trend</x:v>
      </x:c>
      <x:c r="B2" t="str">
        <x:v>Analyse the Forecast_Data monthly takaful application volumes. Describe overall trend, recurring monthly variation, and any unusual months. Use only this table.</x:v>
      </x:c>
      <x:c r="C2" t="str">
        <x:v>Compare with chart and historical values.</x:v>
      </x:c>
    </x:row>
    <x:row r="3">
      <x:c r="A3" t="str">
        <x:v>Forecast</x:v>
      </x:c>
      <x:c r="B3" t="str">
        <x:v>Suggest a defensible forecast for July through December 2025 using Excel's built-in forecasting tools. Explain the method, limitations and uncertainty. If you cannot calculate directly, provide exact Excel steps.</x:v>
      </x:c>
      <x:c r="C3" t="str">
        <x:v>Use Excel Forecast Sheet or FORECAST.ETS; do not invent values.</x:v>
      </x:c>
    </x:row>
    <x:row r="4">
      <x:c r="A4" t="str">
        <x:v>Scenario</x:v>
      </x:c>
      <x:c r="B4" t="str">
        <x:v>Explain how a one-off marketing campaign in 2024 might influence a time-series forecast and how to assess forecast robustness.</x:v>
      </x:c>
      <x:c r="C4" t="str">
        <x:v>Separate campaign effects from recurring seasonality.</x:v>
      </x:c>
    </x:row>
    <x:row r="5">
      <x:c r="A5" t="str">
        <x:v>Evaluation</x:v>
      </x:c>
      <x:c r="B5" t="str">
        <x:v>After actuals are revealed, calculate MAE and MAPE, identify the largest error, and recommend how to improve future forecasting.</x:v>
      </x:c>
      <x:c r="C5" t="str">
        <x:v>Check six-month evaluation formulas.</x:v>
      </x:c>
    </x:row>
  </x:sheetData>
  <x:pageMargins left="0.7" right="0.7" top="0.75" bottom="0.75" header="0.3" footer="0.3"/>
</x:worksheet>
</file>